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 TERMS\KỲ FALL 26\LAB211\Lab211-FA26-Asignments\02_J1.L.P0038.CarInsuranceManagement_300LOCs\"/>
    </mc:Choice>
  </mc:AlternateContent>
  <xr:revisionPtr revIDLastSave="0" documentId="13_ncr:1_{0C0CE97B-F81F-490D-87E4-987CDA5665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assSE21##" sheetId="1" r:id="rId1"/>
    <sheet name="Rubric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G13" i="2" s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G15" i="2" l="1"/>
  <c r="G14" i="2"/>
  <c r="G16" i="2"/>
  <c r="G18" i="2"/>
  <c r="G17" i="2"/>
  <c r="G19" i="2"/>
  <c r="G20" i="2"/>
  <c r="G24" i="2"/>
  <c r="G21" i="2"/>
  <c r="G23" i="2"/>
  <c r="G22" i="2"/>
  <c r="G27" i="2"/>
  <c r="G26" i="2"/>
  <c r="G25" i="2"/>
  <c r="G11" i="2"/>
  <c r="G12" i="2"/>
  <c r="G10" i="2"/>
  <c r="G9" i="2"/>
  <c r="G8" i="2"/>
  <c r="G7" i="2"/>
  <c r="G6" i="2"/>
  <c r="D2" i="1"/>
  <c r="O3" i="1" s="1"/>
  <c r="E16" i="1" l="1"/>
  <c r="E21" i="1"/>
  <c r="E25" i="1"/>
  <c r="E30" i="1"/>
  <c r="E32" i="1"/>
  <c r="E34" i="1"/>
  <c r="E35" i="1"/>
  <c r="E38" i="1"/>
  <c r="E14" i="1"/>
  <c r="E18" i="1"/>
  <c r="E20" i="1"/>
  <c r="E24" i="1"/>
  <c r="E28" i="1"/>
  <c r="E31" i="1"/>
  <c r="E33" i="1"/>
  <c r="E36" i="1"/>
  <c r="E37" i="1"/>
  <c r="E15" i="1"/>
  <c r="E22" i="1"/>
  <c r="L3" i="1"/>
  <c r="E17" i="1"/>
  <c r="E19" i="1"/>
  <c r="E23" i="1"/>
  <c r="E26" i="1"/>
  <c r="E29" i="1"/>
  <c r="F3" i="1"/>
  <c r="G3" i="1"/>
  <c r="H3" i="1"/>
  <c r="I3" i="1"/>
  <c r="J3" i="1"/>
  <c r="K3" i="1"/>
  <c r="M3" i="1"/>
  <c r="N3" i="1"/>
  <c r="P3" i="1"/>
  <c r="Q3" i="1"/>
  <c r="E4" i="1"/>
  <c r="E5" i="1"/>
  <c r="E6" i="1"/>
  <c r="E7" i="1"/>
  <c r="E8" i="1"/>
  <c r="E9" i="1"/>
  <c r="E10" i="1"/>
  <c r="E11" i="1"/>
  <c r="E12" i="1"/>
  <c r="E13" i="1"/>
  <c r="E27" i="1"/>
  <c r="R3" i="1"/>
  <c r="S3" i="1"/>
  <c r="T3" i="1"/>
  <c r="U3" i="1"/>
  <c r="V3" i="1"/>
  <c r="W3" i="1"/>
  <c r="X3" i="1"/>
  <c r="Y3" i="1"/>
  <c r="Z3" i="1"/>
  <c r="AA3" i="1"/>
</calcChain>
</file>

<file path=xl/sharedStrings.xml><?xml version="1.0" encoding="utf-8"?>
<sst xmlns="http://schemas.openxmlformats.org/spreadsheetml/2006/main" count="71" uniqueCount="62">
  <si>
    <t>No.</t>
  </si>
  <si>
    <t>Enrollment</t>
  </si>
  <si>
    <t>Student Name</t>
  </si>
  <si>
    <t>Total</t>
  </si>
  <si>
    <t>LOCs</t>
  </si>
  <si>
    <t>Cho điểm theo dòng màu xanh trang tính sẽ chuyển thành LOCs. KHÔNG SỬA GIÁ TRỊ DÒNG 2 VÀ 3</t>
  </si>
  <si>
    <t>SE1678953</t>
  </si>
  <si>
    <t>Nguyễn Văn A</t>
  </si>
  <si>
    <t>SE1678954</t>
  </si>
  <si>
    <t>Lê Thành B</t>
  </si>
  <si>
    <t>SE1678955</t>
  </si>
  <si>
    <t>Nguyễn Thị C</t>
  </si>
  <si>
    <t>SE1678956</t>
  </si>
  <si>
    <t>Trần Văn D</t>
  </si>
  <si>
    <t>SE1678957</t>
  </si>
  <si>
    <t>Lý Văn E</t>
  </si>
  <si>
    <t>SE1678958</t>
  </si>
  <si>
    <t>Mai Văn G</t>
  </si>
  <si>
    <t>Rubric đánh giá Car Insurance Management Project - 300LOC</t>
  </si>
  <si>
    <t>Stt</t>
  </si>
  <si>
    <t>Hạng mục</t>
  </si>
  <si>
    <t>Tiêu chí</t>
  </si>
  <si>
    <t>Điểm tối đa
(Thang 100)</t>
  </si>
  <si>
    <t>Điểm đạt</t>
  </si>
  <si>
    <t>Nhận xét</t>
  </si>
  <si>
    <t>300 LOCs</t>
  </si>
  <si>
    <t>Computational Thinking (CT)</t>
  </si>
  <si>
    <t>Áp dụng OOP</t>
  </si>
  <si>
    <t>Định nghĩa class rõ ràng cho Car, Insurance Statement và các thành phần quản lý</t>
  </si>
  <si>
    <t>Sử dụng Map&lt;Key, Value&gt; phù hợp để quản lý collection và định danh đối tượng</t>
  </si>
  <si>
    <t>Encapsulation – thuộc tính private và phương thức truy cập/cập nhật hợp lý</t>
  </si>
  <si>
    <t>Constructor, toString(), equals()/hashCode() hoặc cơ chế tương đương phù hợp với mô hình dữ liệu</t>
  </si>
  <si>
    <t>Inheritance / interface / polymorphism được áp dụng hợp lý khi cần, không lạm dụng</t>
  </si>
  <si>
    <t>Chức năng 1 – Add car</t>
  </si>
  <si>
    <t>Thêm xe: nhập đủ thông tin; kiểm tra null, license plate duy nhất, owner 2–35 ký tự, ngày hợp lệ, value &gt; 999, vehicle type ∈ {5,7,9}</t>
  </si>
  <si>
    <t>Chức năng 2 – Find car</t>
  </si>
  <si>
    <t>Tìm xe theo license plate; thông báo “Unregistered vehicle” nếu không tồn tại và hiển thị thông tin nếu tìm thấy</t>
  </si>
  <si>
    <t>Chức năng 3 – Update car</t>
  </si>
  <si>
    <t>Cập nhật xe theo license plate; không cho đổi license plate; kiểm tra dữ liệu và báo thành công/thất bại</t>
  </si>
  <si>
    <t>Chức năng 4 – Delete car</t>
  </si>
  <si>
    <t>Xóa xe theo license plate; xác nhận trước khi xóa; không cho xóa xe đã có bảo hiểm; báo kết quả</t>
  </si>
  <si>
    <t>Chức năng 5 – Add insurance</t>
  </si>
  <si>
    <t>Thêm insurance statement; kiểm tra null, insurance ID duy nhất, ngày hợp lệ, period 12/24/36 và tính insurance fee đúng công thức</t>
  </si>
  <si>
    <t>Chức năng 6 – List insurance</t>
  </si>
  <si>
    <t>Liệt kê insurance statements theo năm; cho chọn trường sắp xếp và ASC/DESC; hiển thị report đúng yêu cầu</t>
  </si>
  <si>
    <t>Chức năng 7 – Report uninsured</t>
  </si>
  <si>
    <t>Báo cáo các xe chưa có bảo hiểm; cho chọn trường sắp xếp và ASC/DESC; hiển thị report đúng yêu cầu</t>
  </si>
  <si>
    <t>Chức năng 8 – Save data</t>
  </si>
  <si>
    <t>Lưu collection xe vào carInfo.dat và collection insurance statements vào insurances.dat</t>
  </si>
  <si>
    <t>Chức năng 9 – Load data</t>
  </si>
  <si>
    <t>Chức năng 10 – Quit</t>
  </si>
  <si>
    <t>Thoát chương trình; yêu cầu xác nhận trước khi thoát và lưu dữ liệu khi có thay đổi</t>
  </si>
  <si>
    <t>Code style &amp; báo cáo</t>
  </si>
  <si>
    <t>Đặt tên biến, class, method rõ ràng và nhất quán; cấu trúc package/project hợp lý</t>
  </si>
  <si>
    <t>Code rõ ràng, dễ đọc, hạn chế lặp code; có xử lý exception/input validation phù hợp</t>
  </si>
  <si>
    <t>Báo cáo, diagram/flow-chart và phần trình bày đáp ứng yêu cầu; giải thích được cách chương trình hoạt động</t>
  </si>
  <si>
    <t>TỔNG</t>
  </si>
  <si>
    <r>
      <rPr>
        <b/>
        <sz val="12"/>
        <color rgb="FFFF0000"/>
        <rFont val="Aptos Narrow"/>
        <family val="2"/>
        <scheme val="minor"/>
      </rPr>
      <t>Decomposition</t>
    </r>
    <r>
      <rPr>
        <sz val="12"/>
        <color theme="1"/>
        <rFont val="Aptos Narrow"/>
        <family val="2"/>
        <scheme val="minor"/>
      </rPr>
      <t xml:space="preserve"> – phân rã yêu cầu thành các module/class/function hợp lý</t>
    </r>
  </si>
  <si>
    <r>
      <rPr>
        <b/>
        <sz val="12"/>
        <color rgb="FFFF0000"/>
        <rFont val="Aptos Narrow"/>
        <family val="2"/>
        <scheme val="minor"/>
      </rPr>
      <t>Pattern Recognition</t>
    </r>
    <r>
      <rPr>
        <sz val="12"/>
        <color theme="1"/>
        <rFont val="Aptos Narrow"/>
        <family val="2"/>
        <scheme val="minor"/>
      </rPr>
      <t xml:space="preserve"> – nhận diện và tái sử dụng các mẫu xử lý CRUD, validation, tìm kiếm/sắp xếp</t>
    </r>
  </si>
  <si>
    <r>
      <rPr>
        <b/>
        <sz val="12"/>
        <color rgb="FFFF0000"/>
        <rFont val="Aptos Narrow"/>
        <family val="2"/>
        <scheme val="minor"/>
      </rPr>
      <t>Abstraction</t>
    </r>
    <r>
      <rPr>
        <sz val="12"/>
        <color theme="1"/>
        <rFont val="Aptos Narrow"/>
        <family val="2"/>
        <scheme val="minor"/>
      </rPr>
      <t xml:space="preserve"> – mô hình hóa Car, Insurance Statement và các dữ liệu/quan hệ cần thiết</t>
    </r>
  </si>
  <si>
    <r>
      <rPr>
        <b/>
        <sz val="12"/>
        <color rgb="FFFF0000"/>
        <rFont val="Aptos Narrow"/>
        <family val="2"/>
        <scheme val="minor"/>
      </rPr>
      <t>Algorithm Design</t>
    </r>
    <r>
      <rPr>
        <sz val="12"/>
        <color theme="1"/>
        <rFont val="Aptos Narrow"/>
        <family val="2"/>
        <scheme val="minor"/>
      </rPr>
      <t xml:space="preserve"> – thiết kế đúng thuật toán tìm kiếm, cập nhật, xóa, tính phí và sắp xếp</t>
    </r>
  </si>
  <si>
    <r>
      <t xml:space="preserve">Nạp dữ liệu từ </t>
    </r>
    <r>
      <rPr>
        <b/>
        <sz val="12"/>
        <color rgb="FF0000FF"/>
        <rFont val="Aptos Narrow"/>
        <family val="2"/>
        <scheme val="minor"/>
      </rPr>
      <t>carInfo.dat</t>
    </r>
    <r>
      <rPr>
        <sz val="12"/>
        <color theme="1"/>
        <rFont val="Aptos Narrow"/>
        <family val="2"/>
        <scheme val="minor"/>
      </rPr>
      <t xml:space="preserve"> và </t>
    </r>
    <r>
      <rPr>
        <b/>
        <sz val="12"/>
        <color rgb="FF0000FF"/>
        <rFont val="Aptos Narrow"/>
        <family val="2"/>
        <scheme val="minor"/>
      </rPr>
      <t>insurances.dat</t>
    </r>
    <r>
      <rPr>
        <sz val="12"/>
        <color theme="1"/>
        <rFont val="Aptos Narrow"/>
        <family val="2"/>
        <scheme val="minor"/>
      </rPr>
      <t>; phục hồi dữ liệu đúng và xử lý lỗi đọc file phù hợp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</si>
</sst>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1"/>
      <color rgb="FFED0000"/>
      <name val="Times New Roman"/>
      <family val="1"/>
    </font>
    <font>
      <b/>
      <sz val="11"/>
      <color rgb="FF0000FF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0" xfId="1"/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5" xfId="1" applyFont="1" applyBorder="1"/>
    <xf numFmtId="0" fontId="4" fillId="0" borderId="1" xfId="1" applyFont="1" applyBorder="1" applyAlignment="1">
      <alignment vertical="center" wrapText="1"/>
    </xf>
    <xf numFmtId="0" fontId="4" fillId="0" borderId="6" xfId="1" applyFont="1" applyBorder="1"/>
    <xf numFmtId="0" fontId="4" fillId="0" borderId="1" xfId="1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10" fillId="0" borderId="7" xfId="0" applyFont="1" applyBorder="1"/>
    <xf numFmtId="0" fontId="7" fillId="3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1" fillId="0" borderId="0" xfId="1"/>
    <xf numFmtId="0" fontId="11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zoomScale="90" zoomScaleNormal="90" workbookViewId="0">
      <pane xSplit="5" ySplit="3" topLeftCell="Q4" activePane="bottomRight" state="frozen"/>
      <selection pane="topRight"/>
      <selection pane="bottomLeft" activeCell="A4" sqref="A4"/>
      <selection pane="bottomRight" activeCell="L1" sqref="L1"/>
    </sheetView>
  </sheetViews>
  <sheetFormatPr defaultRowHeight="14.25" x14ac:dyDescent="0.45"/>
  <cols>
    <col min="1" max="1" width="4" bestFit="1" customWidth="1"/>
    <col min="2" max="2" width="10.33203125" bestFit="1" customWidth="1"/>
    <col min="3" max="3" width="12.86328125" bestFit="1" customWidth="1"/>
    <col min="4" max="4" width="5.19921875" bestFit="1" customWidth="1"/>
    <col min="5" max="5" width="5.796875" bestFit="1" customWidth="1"/>
    <col min="6" max="6" width="16" customWidth="1"/>
    <col min="7" max="7" width="14.6640625" bestFit="1" customWidth="1"/>
    <col min="8" max="8" width="14.86328125" bestFit="1" customWidth="1"/>
    <col min="9" max="9" width="15" bestFit="1" customWidth="1"/>
    <col min="10" max="10" width="14.796875" bestFit="1" customWidth="1"/>
    <col min="11" max="11" width="16" customWidth="1"/>
    <col min="12" max="12" width="15.19921875" bestFit="1" customWidth="1"/>
    <col min="13" max="13" width="15.86328125" bestFit="1" customWidth="1"/>
    <col min="14" max="15" width="15.796875" bestFit="1" customWidth="1"/>
    <col min="16" max="16" width="14.53125" bestFit="1" customWidth="1"/>
    <col min="17" max="17" width="15.796875" bestFit="1" customWidth="1"/>
    <col min="18" max="18" width="15.46484375" bestFit="1" customWidth="1"/>
    <col min="19" max="19" width="15.6640625" bestFit="1" customWidth="1"/>
    <col min="20" max="20" width="15.46484375" bestFit="1" customWidth="1"/>
    <col min="21" max="21" width="15.86328125" bestFit="1" customWidth="1"/>
    <col min="22" max="22" width="15.796875" bestFit="1" customWidth="1"/>
    <col min="23" max="23" width="14.46484375" bestFit="1" customWidth="1"/>
    <col min="24" max="24" width="15.46484375" bestFit="1" customWidth="1"/>
    <col min="25" max="27" width="16" customWidth="1"/>
    <col min="28" max="28" width="10.86328125" customWidth="1"/>
  </cols>
  <sheetData>
    <row r="1" spans="1:27" ht="121.5" x14ac:dyDescent="0.4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tr">
        <f>Rubrics!C6</f>
        <v>Decomposition – phân rã yêu cầu thành các module/class/function hợp lý</v>
      </c>
      <c r="G1" s="25" t="str">
        <f>Rubrics!C7</f>
        <v>Pattern Recognition – nhận diện và tái sử dụng các mẫu xử lý CRUD, validation, tìm kiếm/sắp xếp</v>
      </c>
      <c r="H1" s="25" t="str">
        <f>Rubrics!C8</f>
        <v>Abstraction – mô hình hóa Car, Insurance Statement và các dữ liệu/quan hệ cần thiết</v>
      </c>
      <c r="I1" s="25" t="str">
        <f>Rubrics!C9</f>
        <v>Algorithm Design – thiết kế đúng thuật toán tìm kiếm, cập nhật, xóa, tính phí và sắp xếp</v>
      </c>
      <c r="J1" s="25" t="str">
        <f>Rubrics!C10</f>
        <v>Định nghĩa class rõ ràng cho Car, Insurance Statement và các thành phần quản lý</v>
      </c>
      <c r="K1" s="25" t="str">
        <f>Rubrics!C11</f>
        <v>Sử dụng Map&lt;Key, Value&gt; phù hợp để quản lý collection và định danh đối tượng</v>
      </c>
      <c r="L1" s="25" t="str">
        <f>Rubrics!C12</f>
        <v>Encapsulation – thuộc tính private và phương thức truy cập/cập nhật hợp lý</v>
      </c>
      <c r="M1" s="25" t="str">
        <f>Rubrics!C13</f>
        <v>Constructor, toString(), equals()/hashCode() hoặc cơ chế tương đương phù hợp với mô hình dữ liệu</v>
      </c>
      <c r="N1" s="25" t="str">
        <f>Rubrics!C14</f>
        <v>Inheritance / interface / polymorphism được áp dụng hợp lý khi cần, không lạm dụng</v>
      </c>
      <c r="O1" s="25" t="str">
        <f>Rubrics!C15</f>
        <v>Thêm xe: nhập đủ thông tin; kiểm tra null, license plate duy nhất, owner 2–35 ký tự, ngày hợp lệ, value &gt; 999, vehicle type ∈ {5,7,9}</v>
      </c>
      <c r="P1" s="25" t="str">
        <f>Rubrics!C16</f>
        <v>Tìm xe theo license plate; thông báo “Unregistered vehicle” nếu không tồn tại và hiển thị thông tin nếu tìm thấy</v>
      </c>
      <c r="Q1" s="25" t="str">
        <f>Rubrics!C17</f>
        <v>Cập nhật xe theo license plate; không cho đổi license plate; kiểm tra dữ liệu và báo thành công/thất bại</v>
      </c>
      <c r="R1" s="25" t="str">
        <f>Rubrics!C18</f>
        <v>Xóa xe theo license plate; xác nhận trước khi xóa; không cho xóa xe đã có bảo hiểm; báo kết quả</v>
      </c>
      <c r="S1" s="25" t="str">
        <f>Rubrics!C19</f>
        <v>Thêm insurance statement; kiểm tra null, insurance ID duy nhất, ngày hợp lệ, period 12/24/36 và tính insurance fee đúng công thức</v>
      </c>
      <c r="T1" s="25" t="str">
        <f>Rubrics!C20</f>
        <v>Liệt kê insurance statements theo năm; cho chọn trường sắp xếp và ASC/DESC; hiển thị report đúng yêu cầu</v>
      </c>
      <c r="U1" s="25" t="str">
        <f>Rubrics!C21</f>
        <v>Báo cáo các xe chưa có bảo hiểm; cho chọn trường sắp xếp và ASC/DESC; hiển thị report đúng yêu cầu</v>
      </c>
      <c r="V1" s="25" t="str">
        <f>Rubrics!C22</f>
        <v>Lưu collection xe vào carInfo.dat và collection insurance statements vào insurances.dat</v>
      </c>
      <c r="W1" s="25" t="str">
        <f>Rubrics!C23</f>
        <v>Nạp dữ liệu từ carInfo.dat và insurances.dat; phục hồi dữ liệu đúng và xử lý lỗi đọc file phù hợp</v>
      </c>
      <c r="X1" s="25" t="str">
        <f>Rubrics!C24</f>
        <v>Thoát chương trình; yêu cầu xác nhận trước khi thoát và lưu dữ liệu khi có thay đổi</v>
      </c>
      <c r="Y1" s="25" t="str">
        <f>Rubrics!C25</f>
        <v>Đặt tên biến, class, method rõ ràng và nhất quán; cấu trúc package/project hợp lý</v>
      </c>
      <c r="Z1" s="25" t="str">
        <f>Rubrics!C26</f>
        <v>Code rõ ràng, dễ đọc, hạn chế lặp code; có xử lý exception/input validation phù hợp</v>
      </c>
      <c r="AA1" s="25" t="str">
        <f>Rubrics!C27</f>
        <v>Báo cáo, diagram/flow-chart và phần trình bày đáp ứng yêu cầu; giải thích được cách chương trình hoạt động</v>
      </c>
    </row>
    <row r="2" spans="1:27" x14ac:dyDescent="0.45">
      <c r="A2" s="17" t="s">
        <v>5</v>
      </c>
      <c r="B2" s="18"/>
      <c r="C2" s="19"/>
      <c r="D2" s="11">
        <f>SUM(F2:AA2)</f>
        <v>100</v>
      </c>
      <c r="E2" s="12"/>
      <c r="F2" s="11">
        <f>Rubrics!D6</f>
        <v>8</v>
      </c>
      <c r="G2" s="11">
        <f>Rubrics!D7</f>
        <v>6</v>
      </c>
      <c r="H2" s="11">
        <f>Rubrics!D8</f>
        <v>8</v>
      </c>
      <c r="I2" s="11">
        <f>Rubrics!D9</f>
        <v>8</v>
      </c>
      <c r="J2" s="11">
        <f>Rubrics!D10</f>
        <v>10</v>
      </c>
      <c r="K2" s="11">
        <f>Rubrics!D11</f>
        <v>8</v>
      </c>
      <c r="L2" s="11">
        <f>Rubrics!D12</f>
        <v>6</v>
      </c>
      <c r="M2" s="11">
        <f>Rubrics!D13</f>
        <v>8</v>
      </c>
      <c r="N2" s="11">
        <f>Rubrics!D14</f>
        <v>8</v>
      </c>
      <c r="O2" s="11">
        <f>Rubrics!D15</f>
        <v>3</v>
      </c>
      <c r="P2" s="11">
        <f>Rubrics!D16</f>
        <v>2</v>
      </c>
      <c r="Q2" s="11">
        <f>Rubrics!D17</f>
        <v>2</v>
      </c>
      <c r="R2" s="11">
        <f>Rubrics!D18</f>
        <v>1.5</v>
      </c>
      <c r="S2" s="11">
        <f>Rubrics!D19</f>
        <v>2.5</v>
      </c>
      <c r="T2" s="11">
        <f>Rubrics!D20</f>
        <v>1.5</v>
      </c>
      <c r="U2" s="11">
        <f>Rubrics!D21</f>
        <v>2</v>
      </c>
      <c r="V2" s="11">
        <f>Rubrics!D22</f>
        <v>2</v>
      </c>
      <c r="W2" s="11">
        <f>Rubrics!D23</f>
        <v>2</v>
      </c>
      <c r="X2" s="11">
        <f>Rubrics!D24</f>
        <v>1.5</v>
      </c>
      <c r="Y2" s="11">
        <f>Rubrics!D25</f>
        <v>4</v>
      </c>
      <c r="Z2" s="11">
        <f>Rubrics!D26</f>
        <v>4</v>
      </c>
      <c r="AA2" s="11">
        <f>Rubrics!D27</f>
        <v>2</v>
      </c>
    </row>
    <row r="3" spans="1:27" x14ac:dyDescent="0.45">
      <c r="A3" s="20"/>
      <c r="B3" s="21"/>
      <c r="C3" s="22"/>
      <c r="D3" s="12"/>
      <c r="E3" s="13">
        <v>300</v>
      </c>
      <c r="F3" s="13">
        <f t="shared" ref="F3:AA3" si="0">F2*$E$3/$D$2</f>
        <v>24</v>
      </c>
      <c r="G3" s="13">
        <f t="shared" si="0"/>
        <v>18</v>
      </c>
      <c r="H3" s="13">
        <f t="shared" si="0"/>
        <v>24</v>
      </c>
      <c r="I3" s="13">
        <f t="shared" si="0"/>
        <v>24</v>
      </c>
      <c r="J3" s="13">
        <f t="shared" si="0"/>
        <v>30</v>
      </c>
      <c r="K3" s="13">
        <f t="shared" si="0"/>
        <v>24</v>
      </c>
      <c r="L3" s="13">
        <f t="shared" si="0"/>
        <v>18</v>
      </c>
      <c r="M3" s="13">
        <f t="shared" si="0"/>
        <v>24</v>
      </c>
      <c r="N3" s="13">
        <f t="shared" si="0"/>
        <v>24</v>
      </c>
      <c r="O3" s="13">
        <f t="shared" si="0"/>
        <v>9</v>
      </c>
      <c r="P3" s="13">
        <f t="shared" si="0"/>
        <v>6</v>
      </c>
      <c r="Q3" s="13">
        <f t="shared" si="0"/>
        <v>6</v>
      </c>
      <c r="R3" s="13">
        <f t="shared" si="0"/>
        <v>4.5</v>
      </c>
      <c r="S3" s="13">
        <f t="shared" si="0"/>
        <v>7.5</v>
      </c>
      <c r="T3" s="13">
        <f t="shared" si="0"/>
        <v>4.5</v>
      </c>
      <c r="U3" s="13">
        <f t="shared" si="0"/>
        <v>6</v>
      </c>
      <c r="V3" s="13">
        <f t="shared" si="0"/>
        <v>6</v>
      </c>
      <c r="W3" s="13">
        <f t="shared" si="0"/>
        <v>6</v>
      </c>
      <c r="X3" s="13">
        <f t="shared" si="0"/>
        <v>4.5</v>
      </c>
      <c r="Y3" s="13">
        <f t="shared" si="0"/>
        <v>12</v>
      </c>
      <c r="Z3" s="13">
        <f t="shared" si="0"/>
        <v>12</v>
      </c>
      <c r="AA3" s="13">
        <f t="shared" si="0"/>
        <v>6</v>
      </c>
    </row>
    <row r="4" spans="1:27" x14ac:dyDescent="0.45">
      <c r="A4" s="14">
        <v>1</v>
      </c>
      <c r="B4" s="14" t="s">
        <v>6</v>
      </c>
      <c r="C4" s="14" t="s">
        <v>7</v>
      </c>
      <c r="D4" s="11">
        <f t="shared" ref="D4:D38" si="1">SUM(F4:AA4)</f>
        <v>100</v>
      </c>
      <c r="E4" s="15">
        <f t="shared" ref="E4:E38" si="2">D4*$E$3/$D$2</f>
        <v>300</v>
      </c>
      <c r="F4" s="16">
        <v>8</v>
      </c>
      <c r="G4" s="16">
        <v>6</v>
      </c>
      <c r="H4" s="16">
        <v>8</v>
      </c>
      <c r="I4" s="16">
        <v>8</v>
      </c>
      <c r="J4" s="16">
        <v>10</v>
      </c>
      <c r="K4" s="16">
        <v>8</v>
      </c>
      <c r="L4" s="16">
        <v>6</v>
      </c>
      <c r="M4" s="16">
        <v>8</v>
      </c>
      <c r="N4" s="16">
        <v>8</v>
      </c>
      <c r="O4" s="16">
        <v>3</v>
      </c>
      <c r="P4" s="16">
        <v>2</v>
      </c>
      <c r="Q4" s="16">
        <v>2</v>
      </c>
      <c r="R4" s="16">
        <v>1.5</v>
      </c>
      <c r="S4" s="16">
        <v>2.5</v>
      </c>
      <c r="T4" s="16">
        <v>1.5</v>
      </c>
      <c r="U4" s="16">
        <v>2</v>
      </c>
      <c r="V4" s="16">
        <v>2</v>
      </c>
      <c r="W4" s="16">
        <v>2</v>
      </c>
      <c r="X4" s="16">
        <v>1.5</v>
      </c>
      <c r="Y4" s="16">
        <v>4</v>
      </c>
      <c r="Z4" s="16">
        <v>4</v>
      </c>
      <c r="AA4" s="16">
        <v>2</v>
      </c>
    </row>
    <row r="5" spans="1:27" x14ac:dyDescent="0.45">
      <c r="A5" s="14">
        <v>2</v>
      </c>
      <c r="B5" s="14" t="s">
        <v>8</v>
      </c>
      <c r="C5" s="14" t="s">
        <v>9</v>
      </c>
      <c r="D5" s="11">
        <f t="shared" si="1"/>
        <v>67</v>
      </c>
      <c r="E5" s="15">
        <f t="shared" si="2"/>
        <v>201</v>
      </c>
      <c r="F5" s="16">
        <v>5</v>
      </c>
      <c r="G5" s="16">
        <v>4</v>
      </c>
      <c r="H5" s="16">
        <v>4</v>
      </c>
      <c r="I5" s="16">
        <v>5</v>
      </c>
      <c r="J5" s="16">
        <v>6</v>
      </c>
      <c r="K5" s="16">
        <v>5</v>
      </c>
      <c r="L5" s="16">
        <v>4</v>
      </c>
      <c r="M5" s="16">
        <v>5</v>
      </c>
      <c r="N5" s="16">
        <v>5</v>
      </c>
      <c r="O5" s="16">
        <v>2</v>
      </c>
      <c r="P5" s="16">
        <v>1</v>
      </c>
      <c r="Q5" s="16">
        <v>1.5</v>
      </c>
      <c r="R5" s="16">
        <v>1.5</v>
      </c>
      <c r="S5" s="16">
        <v>2</v>
      </c>
      <c r="T5" s="16">
        <v>1.5</v>
      </c>
      <c r="U5" s="16">
        <v>2</v>
      </c>
      <c r="V5" s="16">
        <v>2</v>
      </c>
      <c r="W5" s="16">
        <v>1</v>
      </c>
      <c r="X5" s="16">
        <v>1.5</v>
      </c>
      <c r="Y5" s="16">
        <v>4</v>
      </c>
      <c r="Z5" s="16">
        <v>3</v>
      </c>
      <c r="AA5" s="16">
        <v>1</v>
      </c>
    </row>
    <row r="6" spans="1:27" x14ac:dyDescent="0.45">
      <c r="A6" s="14">
        <v>3</v>
      </c>
      <c r="B6" s="14" t="s">
        <v>10</v>
      </c>
      <c r="C6" s="14" t="s">
        <v>11</v>
      </c>
      <c r="D6" s="11">
        <f t="shared" si="1"/>
        <v>0</v>
      </c>
      <c r="E6" s="15">
        <f t="shared" si="2"/>
        <v>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45">
      <c r="A7" s="14">
        <v>4</v>
      </c>
      <c r="B7" s="14" t="s">
        <v>12</v>
      </c>
      <c r="C7" s="14" t="s">
        <v>13</v>
      </c>
      <c r="D7" s="11">
        <f t="shared" si="1"/>
        <v>0</v>
      </c>
      <c r="E7" s="15">
        <f t="shared" si="2"/>
        <v>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45">
      <c r="A8" s="14">
        <v>5</v>
      </c>
      <c r="B8" s="14" t="s">
        <v>14</v>
      </c>
      <c r="C8" s="14" t="s">
        <v>15</v>
      </c>
      <c r="D8" s="11">
        <f t="shared" si="1"/>
        <v>0</v>
      </c>
      <c r="E8" s="15">
        <f t="shared" si="2"/>
        <v>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45">
      <c r="A9" s="14">
        <v>6</v>
      </c>
      <c r="B9" s="14" t="s">
        <v>16</v>
      </c>
      <c r="C9" s="14" t="s">
        <v>17</v>
      </c>
      <c r="D9" s="11">
        <f t="shared" si="1"/>
        <v>0</v>
      </c>
      <c r="E9" s="15">
        <f t="shared" si="2"/>
        <v>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45">
      <c r="A10" s="14">
        <v>7</v>
      </c>
      <c r="B10" s="14"/>
      <c r="C10" s="14"/>
      <c r="D10" s="11">
        <f t="shared" si="1"/>
        <v>0</v>
      </c>
      <c r="E10" s="15">
        <f t="shared" si="2"/>
        <v>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45">
      <c r="A11" s="14">
        <v>8</v>
      </c>
      <c r="B11" s="14"/>
      <c r="C11" s="14"/>
      <c r="D11" s="11">
        <f t="shared" si="1"/>
        <v>0</v>
      </c>
      <c r="E11" s="15">
        <f t="shared" si="2"/>
        <v>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45">
      <c r="A12" s="14">
        <v>9</v>
      </c>
      <c r="B12" s="14"/>
      <c r="C12" s="14"/>
      <c r="D12" s="11">
        <f t="shared" si="1"/>
        <v>0</v>
      </c>
      <c r="E12" s="15">
        <f t="shared" si="2"/>
        <v>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45">
      <c r="A13" s="14">
        <v>10</v>
      </c>
      <c r="B13" s="14"/>
      <c r="C13" s="14"/>
      <c r="D13" s="11">
        <f t="shared" si="1"/>
        <v>0</v>
      </c>
      <c r="E13" s="15">
        <f t="shared" si="2"/>
        <v>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45">
      <c r="A14" s="14">
        <v>11</v>
      </c>
      <c r="B14" s="14"/>
      <c r="C14" s="14"/>
      <c r="D14" s="11">
        <f t="shared" si="1"/>
        <v>0</v>
      </c>
      <c r="E14" s="15">
        <f t="shared" si="2"/>
        <v>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45">
      <c r="A15" s="14">
        <v>12</v>
      </c>
      <c r="B15" s="14"/>
      <c r="C15" s="14"/>
      <c r="D15" s="11">
        <f t="shared" si="1"/>
        <v>0</v>
      </c>
      <c r="E15" s="15">
        <f t="shared" si="2"/>
        <v>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45">
      <c r="A16" s="14">
        <v>13</v>
      </c>
      <c r="B16" s="14"/>
      <c r="C16" s="14"/>
      <c r="D16" s="11">
        <f t="shared" si="1"/>
        <v>0</v>
      </c>
      <c r="E16" s="15">
        <f t="shared" si="2"/>
        <v>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45">
      <c r="A17" s="14">
        <v>14</v>
      </c>
      <c r="B17" s="14"/>
      <c r="C17" s="14"/>
      <c r="D17" s="11">
        <f t="shared" si="1"/>
        <v>0</v>
      </c>
      <c r="E17" s="15">
        <f t="shared" si="2"/>
        <v>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45">
      <c r="A18" s="14">
        <v>15</v>
      </c>
      <c r="B18" s="14"/>
      <c r="C18" s="14"/>
      <c r="D18" s="11">
        <f t="shared" si="1"/>
        <v>0</v>
      </c>
      <c r="E18" s="15">
        <f t="shared" si="2"/>
        <v>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45">
      <c r="A19" s="14">
        <v>16</v>
      </c>
      <c r="B19" s="14"/>
      <c r="C19" s="14"/>
      <c r="D19" s="11">
        <f t="shared" si="1"/>
        <v>0</v>
      </c>
      <c r="E19" s="15">
        <f t="shared" si="2"/>
        <v>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45">
      <c r="A20" s="14">
        <v>17</v>
      </c>
      <c r="B20" s="14"/>
      <c r="C20" s="14"/>
      <c r="D20" s="11">
        <f t="shared" si="1"/>
        <v>0</v>
      </c>
      <c r="E20" s="15">
        <f t="shared" si="2"/>
        <v>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45">
      <c r="A21" s="14">
        <v>18</v>
      </c>
      <c r="B21" s="14"/>
      <c r="C21" s="14"/>
      <c r="D21" s="11">
        <f t="shared" si="1"/>
        <v>0</v>
      </c>
      <c r="E21" s="15">
        <f t="shared" si="2"/>
        <v>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45">
      <c r="A22" s="14">
        <v>19</v>
      </c>
      <c r="B22" s="14"/>
      <c r="C22" s="14"/>
      <c r="D22" s="11">
        <f t="shared" si="1"/>
        <v>0</v>
      </c>
      <c r="E22" s="15">
        <f t="shared" si="2"/>
        <v>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45">
      <c r="A23" s="14">
        <v>20</v>
      </c>
      <c r="B23" s="14"/>
      <c r="C23" s="14"/>
      <c r="D23" s="11">
        <f t="shared" si="1"/>
        <v>0</v>
      </c>
      <c r="E23" s="15">
        <f t="shared" si="2"/>
        <v>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45">
      <c r="A24" s="14">
        <v>21</v>
      </c>
      <c r="B24" s="14"/>
      <c r="C24" s="14"/>
      <c r="D24" s="11">
        <f t="shared" si="1"/>
        <v>0</v>
      </c>
      <c r="E24" s="15">
        <f t="shared" si="2"/>
        <v>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45">
      <c r="A25" s="14">
        <v>22</v>
      </c>
      <c r="B25" s="14"/>
      <c r="C25" s="14"/>
      <c r="D25" s="11">
        <f t="shared" si="1"/>
        <v>0</v>
      </c>
      <c r="E25" s="15">
        <f t="shared" si="2"/>
        <v>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45">
      <c r="A26" s="14">
        <v>23</v>
      </c>
      <c r="B26" s="14"/>
      <c r="C26" s="14"/>
      <c r="D26" s="11">
        <f t="shared" si="1"/>
        <v>0</v>
      </c>
      <c r="E26" s="15">
        <f t="shared" si="2"/>
        <v>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45">
      <c r="A27" s="14">
        <v>24</v>
      </c>
      <c r="B27" s="14"/>
      <c r="C27" s="14"/>
      <c r="D27" s="11">
        <f t="shared" si="1"/>
        <v>0</v>
      </c>
      <c r="E27" s="15">
        <f t="shared" si="2"/>
        <v>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x14ac:dyDescent="0.45">
      <c r="A28" s="14">
        <v>25</v>
      </c>
      <c r="B28" s="14"/>
      <c r="C28" s="14"/>
      <c r="D28" s="11">
        <f t="shared" si="1"/>
        <v>0</v>
      </c>
      <c r="E28" s="15">
        <f t="shared" si="2"/>
        <v>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x14ac:dyDescent="0.45">
      <c r="A29" s="14">
        <v>26</v>
      </c>
      <c r="B29" s="14"/>
      <c r="C29" s="14"/>
      <c r="D29" s="11">
        <f t="shared" si="1"/>
        <v>0</v>
      </c>
      <c r="E29" s="15">
        <f t="shared" si="2"/>
        <v>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x14ac:dyDescent="0.45">
      <c r="A30" s="14">
        <v>27</v>
      </c>
      <c r="B30" s="14"/>
      <c r="C30" s="14"/>
      <c r="D30" s="11">
        <f t="shared" si="1"/>
        <v>0</v>
      </c>
      <c r="E30" s="15">
        <f t="shared" si="2"/>
        <v>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x14ac:dyDescent="0.45">
      <c r="A31" s="14">
        <v>28</v>
      </c>
      <c r="B31" s="14"/>
      <c r="C31" s="14"/>
      <c r="D31" s="11">
        <f t="shared" si="1"/>
        <v>0</v>
      </c>
      <c r="E31" s="15">
        <f t="shared" si="2"/>
        <v>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45">
      <c r="A32" s="14">
        <v>29</v>
      </c>
      <c r="B32" s="14"/>
      <c r="C32" s="14"/>
      <c r="D32" s="11">
        <f t="shared" si="1"/>
        <v>0</v>
      </c>
      <c r="E32" s="15">
        <f t="shared" si="2"/>
        <v>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45">
      <c r="A33" s="14">
        <v>30</v>
      </c>
      <c r="B33" s="14"/>
      <c r="C33" s="14"/>
      <c r="D33" s="11">
        <f t="shared" si="1"/>
        <v>0</v>
      </c>
      <c r="E33" s="15">
        <f t="shared" si="2"/>
        <v>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x14ac:dyDescent="0.45">
      <c r="A34" s="14">
        <v>31</v>
      </c>
      <c r="B34" s="14"/>
      <c r="C34" s="14"/>
      <c r="D34" s="11">
        <f t="shared" si="1"/>
        <v>0</v>
      </c>
      <c r="E34" s="15">
        <f t="shared" si="2"/>
        <v>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x14ac:dyDescent="0.45">
      <c r="A35" s="14">
        <v>32</v>
      </c>
      <c r="B35" s="14"/>
      <c r="C35" s="14"/>
      <c r="D35" s="11">
        <f t="shared" si="1"/>
        <v>0</v>
      </c>
      <c r="E35" s="15">
        <f t="shared" si="2"/>
        <v>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x14ac:dyDescent="0.45">
      <c r="A36" s="14">
        <v>33</v>
      </c>
      <c r="B36" s="14"/>
      <c r="C36" s="14"/>
      <c r="D36" s="11">
        <f t="shared" si="1"/>
        <v>0</v>
      </c>
      <c r="E36" s="15">
        <f t="shared" si="2"/>
        <v>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x14ac:dyDescent="0.45">
      <c r="A37" s="14">
        <v>34</v>
      </c>
      <c r="B37" s="14"/>
      <c r="C37" s="14"/>
      <c r="D37" s="11">
        <f t="shared" si="1"/>
        <v>0</v>
      </c>
      <c r="E37" s="15">
        <f t="shared" si="2"/>
        <v>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45">
      <c r="A38" s="14">
        <v>35</v>
      </c>
      <c r="B38" s="14"/>
      <c r="C38" s="14"/>
      <c r="D38" s="11">
        <f t="shared" si="1"/>
        <v>0</v>
      </c>
      <c r="E38" s="15">
        <f t="shared" si="2"/>
        <v>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</sheetData>
  <mergeCells count="1">
    <mergeCell ref="A2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29"/>
  <sheetViews>
    <sheetView workbookViewId="0">
      <selection activeCell="D24" sqref="D24"/>
    </sheetView>
  </sheetViews>
  <sheetFormatPr defaultColWidth="8.86328125" defaultRowHeight="14.25" x14ac:dyDescent="0.45"/>
  <cols>
    <col min="1" max="1" width="7" style="3" customWidth="1"/>
    <col min="2" max="2" width="31" style="3" customWidth="1"/>
    <col min="3" max="3" width="114.53125" style="3" bestFit="1" customWidth="1"/>
    <col min="4" max="4" width="13.1328125" style="3" customWidth="1"/>
    <col min="5" max="5" width="14" style="3" customWidth="1"/>
    <col min="6" max="6" width="30" style="3" customWidth="1"/>
    <col min="7" max="7" width="11" style="3" customWidth="1"/>
    <col min="8" max="9" width="12" style="3" customWidth="1"/>
    <col min="10" max="10" width="51.33203125" style="3" bestFit="1" customWidth="1"/>
    <col min="11" max="11" width="8.86328125" style="3" customWidth="1"/>
    <col min="12" max="12" width="94.1328125" style="3" bestFit="1" customWidth="1"/>
    <col min="13" max="13" width="62.86328125" style="3" bestFit="1" customWidth="1"/>
    <col min="14" max="14" width="52.6640625" style="3" bestFit="1" customWidth="1"/>
    <col min="15" max="15" width="48.6640625" style="3" bestFit="1" customWidth="1"/>
    <col min="16" max="16" width="8.86328125" style="3" customWidth="1"/>
    <col min="17" max="16384" width="8.86328125" style="3"/>
  </cols>
  <sheetData>
    <row r="3" spans="1:15" ht="31.25" customHeight="1" x14ac:dyDescent="1">
      <c r="A3" s="1" t="s">
        <v>18</v>
      </c>
      <c r="B3" s="2"/>
      <c r="C3" s="2"/>
      <c r="D3" s="2"/>
      <c r="E3" s="2"/>
      <c r="F3" s="2"/>
      <c r="G3" s="2"/>
    </row>
    <row r="4" spans="1:15" ht="15" customHeight="1" thickBot="1" x14ac:dyDescent="0.5"/>
    <row r="5" spans="1:15" ht="31.8" customHeight="1" thickTop="1" x14ac:dyDescent="0.45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6" t="s">
        <v>25</v>
      </c>
      <c r="J5" s="23"/>
      <c r="K5" s="23"/>
      <c r="L5" s="23"/>
      <c r="M5" s="23"/>
      <c r="N5" s="23"/>
      <c r="O5" s="23"/>
    </row>
    <row r="6" spans="1:15" ht="20" customHeight="1" x14ac:dyDescent="0.5">
      <c r="A6" s="7">
        <v>1</v>
      </c>
      <c r="B6" s="10" t="s">
        <v>26</v>
      </c>
      <c r="C6" s="10" t="s">
        <v>57</v>
      </c>
      <c r="D6" s="8">
        <v>8</v>
      </c>
      <c r="E6" s="8"/>
      <c r="F6" s="8"/>
      <c r="G6" s="9">
        <f t="shared" ref="G6:G27" si="0">D6*$G$28/$D$28</f>
        <v>24</v>
      </c>
    </row>
    <row r="7" spans="1:15" ht="20" customHeight="1" x14ac:dyDescent="0.5">
      <c r="A7" s="7">
        <v>2</v>
      </c>
      <c r="B7" s="10" t="s">
        <v>26</v>
      </c>
      <c r="C7" s="10" t="s">
        <v>58</v>
      </c>
      <c r="D7" s="8">
        <v>6</v>
      </c>
      <c r="E7" s="8"/>
      <c r="F7" s="8"/>
      <c r="G7" s="9">
        <f t="shared" si="0"/>
        <v>18</v>
      </c>
    </row>
    <row r="8" spans="1:15" ht="20" customHeight="1" x14ac:dyDescent="0.5">
      <c r="A8" s="7">
        <v>3</v>
      </c>
      <c r="B8" s="10" t="s">
        <v>26</v>
      </c>
      <c r="C8" s="10" t="s">
        <v>59</v>
      </c>
      <c r="D8" s="8">
        <v>8</v>
      </c>
      <c r="E8" s="8"/>
      <c r="F8" s="8"/>
      <c r="G8" s="9">
        <f t="shared" si="0"/>
        <v>24</v>
      </c>
    </row>
    <row r="9" spans="1:15" ht="20" customHeight="1" thickBot="1" x14ac:dyDescent="0.55000000000000004">
      <c r="A9" s="7">
        <v>4</v>
      </c>
      <c r="B9" s="10" t="s">
        <v>26</v>
      </c>
      <c r="C9" s="10" t="s">
        <v>60</v>
      </c>
      <c r="D9" s="8">
        <v>8</v>
      </c>
      <c r="E9" s="8"/>
      <c r="F9" s="8"/>
      <c r="G9" s="9">
        <f t="shared" si="0"/>
        <v>24</v>
      </c>
    </row>
    <row r="10" spans="1:15" ht="20" customHeight="1" thickTop="1" x14ac:dyDescent="0.5">
      <c r="A10" s="7">
        <v>5</v>
      </c>
      <c r="B10" s="10" t="s">
        <v>27</v>
      </c>
      <c r="C10" s="10" t="s">
        <v>28</v>
      </c>
      <c r="D10" s="8">
        <v>10</v>
      </c>
      <c r="E10" s="8"/>
      <c r="F10" s="8"/>
      <c r="G10" s="9">
        <f t="shared" si="0"/>
        <v>30</v>
      </c>
    </row>
    <row r="11" spans="1:15" ht="20" customHeight="1" x14ac:dyDescent="0.5">
      <c r="A11" s="7">
        <v>6</v>
      </c>
      <c r="B11" s="10" t="s">
        <v>27</v>
      </c>
      <c r="C11" s="10" t="s">
        <v>29</v>
      </c>
      <c r="D11" s="8">
        <v>8</v>
      </c>
      <c r="E11" s="8"/>
      <c r="F11" s="8"/>
      <c r="G11" s="9">
        <f t="shared" si="0"/>
        <v>24</v>
      </c>
    </row>
    <row r="12" spans="1:15" ht="20" customHeight="1" x14ac:dyDescent="0.5">
      <c r="A12" s="7">
        <v>7</v>
      </c>
      <c r="B12" s="10" t="s">
        <v>27</v>
      </c>
      <c r="C12" s="10" t="s">
        <v>30</v>
      </c>
      <c r="D12" s="8">
        <v>6</v>
      </c>
      <c r="E12" s="8"/>
      <c r="F12" s="8"/>
      <c r="G12" s="9">
        <f t="shared" si="0"/>
        <v>18</v>
      </c>
    </row>
    <row r="13" spans="1:15" ht="20" customHeight="1" x14ac:dyDescent="0.5">
      <c r="A13" s="7">
        <v>8</v>
      </c>
      <c r="B13" s="10" t="s">
        <v>27</v>
      </c>
      <c r="C13" s="10" t="s">
        <v>31</v>
      </c>
      <c r="D13" s="8">
        <v>8</v>
      </c>
      <c r="E13" s="8"/>
      <c r="F13" s="8"/>
      <c r="G13" s="9">
        <f t="shared" si="0"/>
        <v>24</v>
      </c>
    </row>
    <row r="14" spans="1:15" ht="20" customHeight="1" x14ac:dyDescent="0.5">
      <c r="A14" s="7">
        <v>9</v>
      </c>
      <c r="B14" s="10" t="s">
        <v>27</v>
      </c>
      <c r="C14" s="10" t="s">
        <v>32</v>
      </c>
      <c r="D14" s="8">
        <v>8</v>
      </c>
      <c r="E14" s="8"/>
      <c r="F14" s="8"/>
      <c r="G14" s="9">
        <f t="shared" si="0"/>
        <v>24</v>
      </c>
    </row>
    <row r="15" spans="1:15" ht="20" customHeight="1" x14ac:dyDescent="0.5">
      <c r="A15" s="7">
        <v>10</v>
      </c>
      <c r="B15" s="10" t="s">
        <v>33</v>
      </c>
      <c r="C15" s="10" t="s">
        <v>34</v>
      </c>
      <c r="D15" s="8">
        <v>3</v>
      </c>
      <c r="E15" s="8"/>
      <c r="F15" s="8"/>
      <c r="G15" s="9">
        <f t="shared" si="0"/>
        <v>9</v>
      </c>
    </row>
    <row r="16" spans="1:15" ht="20" customHeight="1" x14ac:dyDescent="0.5">
      <c r="A16" s="7">
        <v>11</v>
      </c>
      <c r="B16" s="10" t="s">
        <v>35</v>
      </c>
      <c r="C16" s="10" t="s">
        <v>36</v>
      </c>
      <c r="D16" s="8">
        <v>2</v>
      </c>
      <c r="E16" s="8"/>
      <c r="F16" s="8"/>
      <c r="G16" s="9">
        <f t="shared" si="0"/>
        <v>6</v>
      </c>
    </row>
    <row r="17" spans="1:7" ht="20" customHeight="1" x14ac:dyDescent="0.5">
      <c r="A17" s="7">
        <v>12</v>
      </c>
      <c r="B17" s="10" t="s">
        <v>37</v>
      </c>
      <c r="C17" s="10" t="s">
        <v>38</v>
      </c>
      <c r="D17" s="8">
        <v>2</v>
      </c>
      <c r="E17" s="8"/>
      <c r="F17" s="8"/>
      <c r="G17" s="9">
        <f t="shared" si="0"/>
        <v>6</v>
      </c>
    </row>
    <row r="18" spans="1:7" ht="20" customHeight="1" x14ac:dyDescent="0.5">
      <c r="A18" s="7">
        <v>13</v>
      </c>
      <c r="B18" s="10" t="s">
        <v>39</v>
      </c>
      <c r="C18" s="10" t="s">
        <v>40</v>
      </c>
      <c r="D18" s="8">
        <v>1.5</v>
      </c>
      <c r="E18" s="8"/>
      <c r="F18" s="8"/>
      <c r="G18" s="9">
        <f t="shared" si="0"/>
        <v>4.5</v>
      </c>
    </row>
    <row r="19" spans="1:7" ht="20" customHeight="1" x14ac:dyDescent="0.5">
      <c r="A19" s="7">
        <v>14</v>
      </c>
      <c r="B19" s="10" t="s">
        <v>41</v>
      </c>
      <c r="C19" s="10" t="s">
        <v>42</v>
      </c>
      <c r="D19" s="8">
        <v>2.5</v>
      </c>
      <c r="E19" s="8"/>
      <c r="F19" s="8"/>
      <c r="G19" s="9">
        <f t="shared" si="0"/>
        <v>7.5</v>
      </c>
    </row>
    <row r="20" spans="1:7" ht="20" customHeight="1" x14ac:dyDescent="0.5">
      <c r="A20" s="7">
        <v>15</v>
      </c>
      <c r="B20" s="10" t="s">
        <v>43</v>
      </c>
      <c r="C20" s="10" t="s">
        <v>44</v>
      </c>
      <c r="D20" s="8">
        <v>1.5</v>
      </c>
      <c r="E20" s="8"/>
      <c r="F20" s="8"/>
      <c r="G20" s="9">
        <f t="shared" si="0"/>
        <v>4.5</v>
      </c>
    </row>
    <row r="21" spans="1:7" ht="20" customHeight="1" x14ac:dyDescent="0.5">
      <c r="A21" s="7">
        <v>16</v>
      </c>
      <c r="B21" s="10" t="s">
        <v>45</v>
      </c>
      <c r="C21" s="10" t="s">
        <v>46</v>
      </c>
      <c r="D21" s="8">
        <v>2</v>
      </c>
      <c r="E21" s="8"/>
      <c r="F21" s="8"/>
      <c r="G21" s="9">
        <f t="shared" si="0"/>
        <v>6</v>
      </c>
    </row>
    <row r="22" spans="1:7" ht="20" customHeight="1" x14ac:dyDescent="0.5">
      <c r="A22" s="7">
        <v>17</v>
      </c>
      <c r="B22" s="10" t="s">
        <v>47</v>
      </c>
      <c r="C22" s="10" t="s">
        <v>48</v>
      </c>
      <c r="D22" s="8">
        <v>2</v>
      </c>
      <c r="E22" s="8"/>
      <c r="F22" s="8"/>
      <c r="G22" s="9">
        <f t="shared" si="0"/>
        <v>6</v>
      </c>
    </row>
    <row r="23" spans="1:7" ht="20" customHeight="1" x14ac:dyDescent="0.5">
      <c r="A23" s="7">
        <v>18</v>
      </c>
      <c r="B23" s="10" t="s">
        <v>49</v>
      </c>
      <c r="C23" s="10" t="s">
        <v>61</v>
      </c>
      <c r="D23" s="8">
        <v>2</v>
      </c>
      <c r="E23" s="8"/>
      <c r="F23" s="8"/>
      <c r="G23" s="9">
        <f t="shared" si="0"/>
        <v>6</v>
      </c>
    </row>
    <row r="24" spans="1:7" ht="20" customHeight="1" x14ac:dyDescent="0.5">
      <c r="A24" s="7">
        <v>19</v>
      </c>
      <c r="B24" s="10" t="s">
        <v>50</v>
      </c>
      <c r="C24" s="10" t="s">
        <v>51</v>
      </c>
      <c r="D24" s="8">
        <v>1.5</v>
      </c>
      <c r="E24" s="8"/>
      <c r="F24" s="8"/>
      <c r="G24" s="9">
        <f t="shared" si="0"/>
        <v>4.5</v>
      </c>
    </row>
    <row r="25" spans="1:7" ht="20" customHeight="1" x14ac:dyDescent="0.5">
      <c r="A25" s="7">
        <v>20</v>
      </c>
      <c r="B25" s="10" t="s">
        <v>52</v>
      </c>
      <c r="C25" s="10" t="s">
        <v>53</v>
      </c>
      <c r="D25" s="8">
        <v>4</v>
      </c>
      <c r="E25" s="8"/>
      <c r="F25" s="8"/>
      <c r="G25" s="9">
        <f t="shared" si="0"/>
        <v>12</v>
      </c>
    </row>
    <row r="26" spans="1:7" ht="20" customHeight="1" x14ac:dyDescent="0.5">
      <c r="A26" s="7">
        <v>21</v>
      </c>
      <c r="B26" s="10" t="s">
        <v>52</v>
      </c>
      <c r="C26" s="10" t="s">
        <v>54</v>
      </c>
      <c r="D26" s="8">
        <v>4</v>
      </c>
      <c r="E26" s="8"/>
      <c r="F26" s="8"/>
      <c r="G26" s="9">
        <f t="shared" si="0"/>
        <v>12</v>
      </c>
    </row>
    <row r="27" spans="1:7" ht="20" customHeight="1" x14ac:dyDescent="0.5">
      <c r="A27" s="7">
        <v>22</v>
      </c>
      <c r="B27" s="10" t="s">
        <v>52</v>
      </c>
      <c r="C27" s="10" t="s">
        <v>55</v>
      </c>
      <c r="D27" s="8">
        <v>2</v>
      </c>
      <c r="E27" s="8"/>
      <c r="F27" s="8"/>
      <c r="G27" s="9">
        <f t="shared" si="0"/>
        <v>6</v>
      </c>
    </row>
    <row r="28" spans="1:7" ht="16.25" customHeight="1" thickBot="1" x14ac:dyDescent="0.5">
      <c r="C28" t="s">
        <v>56</v>
      </c>
      <c r="D28">
        <f>SUM(D6:D27)</f>
        <v>100</v>
      </c>
      <c r="G28">
        <v>300</v>
      </c>
    </row>
    <row r="29" spans="1:7" ht="16.25" customHeight="1" thickTop="1" x14ac:dyDescent="0.45"/>
  </sheetData>
  <mergeCells count="1">
    <mergeCell ref="J5:O5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ClassSE21##</vt:lpstr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Minh Anh Lê Ngọc</cp:lastModifiedBy>
  <dcterms:created xsi:type="dcterms:W3CDTF">2025-08-31T09:03:30Z</dcterms:created>
  <dcterms:modified xsi:type="dcterms:W3CDTF">2026-09-08T08:24:20Z</dcterms:modified>
</cp:coreProperties>
</file>